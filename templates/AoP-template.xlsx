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nosis" sheetId="1" r:id="rId5"/>
    <sheet state="visible" name="Categorisation" sheetId="2" r:id="rId6"/>
    <sheet state="visible" name="Prescription" sheetId="3" r:id="rId7"/>
  </sheets>
  <definedNames/>
  <calcPr/>
</workbook>
</file>

<file path=xl/sharedStrings.xml><?xml version="1.0" encoding="utf-8"?>
<sst xmlns="http://schemas.openxmlformats.org/spreadsheetml/2006/main" count="59" uniqueCount="50">
  <si>
    <t>Organisation</t>
  </si>
  <si>
    <t>Project / area</t>
  </si>
  <si>
    <t>Date</t>
  </si>
  <si>
    <t>Key</t>
  </si>
  <si>
    <t>0 = haven't considered</t>
  </si>
  <si>
    <t>1 = less confident</t>
  </si>
  <si>
    <t>2 = reasonably confident</t>
  </si>
  <si>
    <t>3 = fully confident &amp; evidenced</t>
  </si>
  <si>
    <t>Clear mission</t>
  </si>
  <si>
    <t>Invitation to participate</t>
  </si>
  <si>
    <t>Easy onboarding</t>
  </si>
  <si>
    <t>Modular approach</t>
  </si>
  <si>
    <t>Strong leadership</t>
  </si>
  <si>
    <t>Ways of working open</t>
  </si>
  <si>
    <t>Backchannels &amp; watercoolers</t>
  </si>
  <si>
    <t>Celebration of milestones</t>
  </si>
  <si>
    <t>Is it clear why this project, community, or other area of focus exists? What is it setting out to achieve? Is this written down for everyone to see?</t>
  </si>
  <si>
    <t>Do you have an unambiguous call to action? Who are you asking to get involved? How are you communicating this to them?</t>
  </si>
  <si>
    <t xml:space="preserve">Are there small, simple tasks or activities to get started with? How do people find out about them? How much of the overall picture do they need to understand first? </t>
  </si>
  <si>
    <t>Is there a way which people can use their knowledge, skills, and interests to contribute to just part of the overall project?</t>
  </si>
  <si>
    <t>Do the people in control of the project embody the mission? Do they have the respect of everyone else? Have they got the capacity to make the project a success?</t>
  </si>
  <si>
    <t>Are meeting notes and documentation available to everyone? Are there ways for people to share what they're working on? Is any important information 'secret' or hidden?</t>
  </si>
  <si>
    <t>Are there ‘social’ spaces where members of the project as well as those focused on project aims? Can they share photos of their pets as well as work towards shared goals?</t>
  </si>
  <si>
    <t>Does the project recognise the efforts and input of the people involved? Do they feel valued and supported in the contribution they're making?</t>
  </si>
  <si>
    <t>Notes / Evidence</t>
  </si>
  <si>
    <t>Establishing a New Community</t>
  </si>
  <si>
    <t>Growing an Emerging Community</t>
  </si>
  <si>
    <t>Revitalising an Established Community</t>
  </si>
  <si>
    <t>Potential problems:
- Unclear purpose
- Leadership vacuum
- Resource constraints
- Competing priorities
- Lack of support
- Poor platform choice
- Minimal governance</t>
  </si>
  <si>
    <t>Priority areas:
1. Clearly define the community's purpose, objectives and principles
2. Identify and empower community leaders and champions
3. Establish foundational governance and decision-making processes</t>
  </si>
  <si>
    <t>Potential problems:
- Declining engagement
- Confusion over evolving purpose
- Scaling pains
- Leadership fatigue
- Emerging segmentation
- Unclear participation pathways
- Limited governance</t>
  </si>
  <si>
    <t>Priority areas:
1. Review onboarding and ongoing participation processes 
2. Develop modular engagement paths for emerging subgroups
3. Plan for sustainability through new incentives and leadership development</t>
  </si>
  <si>
    <t>Potential problems:
- Stagnating engagement
- Founder/leadership burnout
- Outdated systems
- Lack of new blood
- Loss of original purpose
- Cultural calcification
- Competition from new communities</t>
  </si>
  <si>
    <t>Priority areas:
1. Re-connect with original mission and purpose
2. Evaluate legacy systems and processes for updates
3. Renew leadership and community roles for fresh perspectives</t>
  </si>
  <si>
    <r>
      <rPr>
        <rFont val="Nunito"/>
        <b/>
        <color rgb="FF1C1917"/>
        <sz val="12.0"/>
      </rPr>
      <t xml:space="preserve">Clarity of Purpose
</t>
    </r>
    <r>
      <rPr>
        <rFont val="Nunito"/>
        <color rgb="FF1C1917"/>
        <sz val="12.0"/>
      </rPr>
      <t>Clear mission, Strong leadership</t>
    </r>
  </si>
  <si>
    <r>
      <rPr>
        <rFont val="Nunito"/>
        <b/>
        <color rgb="FF1C1917"/>
        <sz val="12.0"/>
      </rPr>
      <t xml:space="preserve">Clarity of Purpose
</t>
    </r>
    <r>
      <rPr>
        <rFont val="Nunito"/>
        <color rgb="FF1C1917"/>
        <sz val="12.0"/>
      </rPr>
      <t>Clear mission, Strong leadership</t>
    </r>
  </si>
  <si>
    <r>
      <rPr>
        <rFont val="Nunito"/>
        <b/>
        <color rgb="FF1C1917"/>
        <sz val="12.0"/>
      </rPr>
      <t xml:space="preserve">Clarity of Purpose
</t>
    </r>
    <r>
      <rPr>
        <rFont val="Nunito"/>
        <color rgb="FF1C1917"/>
        <sz val="12.0"/>
      </rPr>
      <t>Clear mission, Strong leadership</t>
    </r>
  </si>
  <si>
    <r>
      <rPr>
        <rFont val="Nunito"/>
        <b/>
        <color rgb="FF1C1917"/>
        <sz val="12.0"/>
      </rPr>
      <t>Participation Onboarding</t>
    </r>
    <r>
      <rPr>
        <rFont val="Nunito"/>
        <color rgb="FF1C1917"/>
        <sz val="12.0"/>
      </rPr>
      <t xml:space="preserve"> 
Invitation to participate, Easy onboarding, Modular approach</t>
    </r>
  </si>
  <si>
    <r>
      <rPr>
        <rFont val="Nunito"/>
        <b/>
        <color rgb="FF1C1917"/>
        <sz val="12.0"/>
      </rPr>
      <t>Participation Onboarding</t>
    </r>
    <r>
      <rPr>
        <rFont val="Nunito"/>
        <color rgb="FF1C1917"/>
        <sz val="12.0"/>
      </rPr>
      <t xml:space="preserve"> 
Invitation to participate, Easy onboarding, Modular approach</t>
    </r>
  </si>
  <si>
    <r>
      <rPr>
        <rFont val="Nunito"/>
        <b/>
        <color rgb="FF1C1917"/>
        <sz val="12.0"/>
      </rPr>
      <t>Participation Onboarding</t>
    </r>
    <r>
      <rPr>
        <rFont val="Nunito"/>
        <color rgb="FF1C1917"/>
        <sz val="12.0"/>
      </rPr>
      <t xml:space="preserve"> 
Invitation to participate, Easy onboarding, Modular approach</t>
    </r>
  </si>
  <si>
    <r>
      <rPr>
        <rFont val="Nunito"/>
        <b/>
        <color rgb="FF1C1917"/>
        <sz val="12.0"/>
      </rPr>
      <t xml:space="preserve">Open Collaboration
</t>
    </r>
    <r>
      <rPr>
        <rFont val="Nunito"/>
        <color rgb="FF1C1917"/>
        <sz val="12.0"/>
      </rPr>
      <t>Ways of working open, Backchannels &amp; watercoolers</t>
    </r>
  </si>
  <si>
    <r>
      <rPr>
        <rFont val="Nunito"/>
        <b/>
        <color rgb="FF1C1917"/>
        <sz val="12.0"/>
      </rPr>
      <t xml:space="preserve">Open Collaboration
</t>
    </r>
    <r>
      <rPr>
        <rFont val="Nunito"/>
        <color rgb="FF1C1917"/>
        <sz val="12.0"/>
      </rPr>
      <t>Ways of working open, Backchannels &amp; watercoolers</t>
    </r>
  </si>
  <si>
    <r>
      <rPr>
        <rFont val="Nunito"/>
        <b/>
        <color rgb="FF1C1917"/>
        <sz val="12.0"/>
      </rPr>
      <t xml:space="preserve">Open Collaboration
</t>
    </r>
    <r>
      <rPr>
        <rFont val="Nunito"/>
        <color rgb="FF1C1917"/>
        <sz val="12.0"/>
      </rPr>
      <t>Ways of working open, Backchannels &amp; watercoolers</t>
    </r>
  </si>
  <si>
    <r>
      <rPr>
        <rFont val="Nunito"/>
        <b/>
        <color rgb="FF1C1917"/>
        <sz val="12.0"/>
      </rPr>
      <t xml:space="preserve">Community Building
</t>
    </r>
    <r>
      <rPr>
        <rFont val="Nunito"/>
        <color rgb="FF1C1917"/>
        <sz val="12.0"/>
      </rPr>
      <t>Celebration of milestones</t>
    </r>
  </si>
  <si>
    <r>
      <rPr>
        <rFont val="Nunito"/>
        <b/>
        <color rgb="FF1C1917"/>
        <sz val="12.0"/>
      </rPr>
      <t xml:space="preserve">Community Building
</t>
    </r>
    <r>
      <rPr>
        <rFont val="Nunito"/>
        <color rgb="FF1C1917"/>
        <sz val="12.0"/>
      </rPr>
      <t>Celebration of milestones</t>
    </r>
  </si>
  <si>
    <r>
      <rPr>
        <rFont val="Nunito"/>
        <b/>
        <color rgb="FF1C1917"/>
        <sz val="12.0"/>
      </rPr>
      <t xml:space="preserve">Community Building
</t>
    </r>
    <r>
      <rPr>
        <rFont val="Nunito"/>
        <color rgb="FF1C1917"/>
        <sz val="12.0"/>
      </rPr>
      <t>Celebration of milestones</t>
    </r>
  </si>
  <si>
    <t>Area of focus</t>
  </si>
  <si>
    <t>Planned activities</t>
  </si>
  <si>
    <t>Review date</t>
  </si>
  <si>
    <t>SELECT AREA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</si>
</sst>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7">
    <font>
      <sz val="10.0"/>
      <color rgb="FF000000"/>
      <name val="Arial"/>
      <scheme val="minor"/>
    </font>
    <font>
      <color theme="1"/>
      <name val="Nunito"/>
    </font>
    <font>
      <sz val="16.0"/>
      <color theme="1"/>
      <name val="Nunito"/>
    </font>
    <font>
      <sz val="16.0"/>
      <color rgb="FFFFFFFF"/>
      <name val="Nunito"/>
    </font>
    <font/>
    <font>
      <b/>
      <color theme="1"/>
      <name val="Nunito"/>
    </font>
    <font>
      <b/>
      <color rgb="FFFFFFFF"/>
      <name val="Nunito"/>
    </font>
    <font>
      <sz val="18.0"/>
      <color theme="1"/>
      <name val="Nunito"/>
    </font>
    <font>
      <sz val="10.0"/>
      <color rgb="FF242424"/>
      <name val="Nunito"/>
    </font>
    <font>
      <sz val="14.0"/>
      <color rgb="FFFFFFFF"/>
      <name val="Nunito"/>
    </font>
    <font>
      <sz val="12.0"/>
      <color theme="1"/>
      <name val="Nunito"/>
    </font>
    <font>
      <sz val="12.0"/>
      <color rgb="FF1C1917"/>
      <name val="Nunito"/>
    </font>
    <font>
      <sz val="11.0"/>
      <color theme="1"/>
      <name val="Nunito"/>
    </font>
    <font>
      <b/>
      <sz val="11.0"/>
      <color rgb="FF000000"/>
      <name val="Nunito"/>
    </font>
    <font>
      <sz val="11.0"/>
      <color rgb="FF000000"/>
      <name val="Nunito"/>
    </font>
    <font>
      <sz val="16.0"/>
      <color rgb="FF000000"/>
      <name val="Nunito"/>
    </font>
    <font>
      <color theme="1"/>
      <name val="Arial"/>
      <scheme val="minor"/>
    </font>
  </fonts>
  <fills count="15">
    <fill>
      <patternFill patternType="none"/>
    </fill>
    <fill>
      <patternFill patternType="lightGray"/>
    </fill>
    <fill>
      <patternFill patternType="solid">
        <fgColor rgb="FF006E9E"/>
        <bgColor rgb="FF006E9E"/>
      </patternFill>
    </fill>
    <fill>
      <patternFill patternType="solid">
        <fgColor rgb="FFFF4742"/>
        <bgColor rgb="FFFF4742"/>
      </patternFill>
    </fill>
    <fill>
      <patternFill patternType="solid">
        <fgColor rgb="FFFFB700"/>
        <bgColor rgb="FFFFB700"/>
      </patternFill>
    </fill>
    <fill>
      <patternFill patternType="solid">
        <fgColor rgb="FFB7B7B7"/>
        <bgColor rgb="FFB7B7B7"/>
      </patternFill>
    </fill>
    <fill>
      <patternFill patternType="solid">
        <fgColor rgb="FFEFEFEF"/>
        <bgColor rgb="FFEFEFEF"/>
      </patternFill>
    </fill>
    <fill>
      <patternFill patternType="solid">
        <fgColor rgb="FF999999"/>
        <bgColor rgb="FF999999"/>
      </patternFill>
    </fill>
    <fill>
      <patternFill patternType="solid">
        <fgColor rgb="FFFFFFFF"/>
        <bgColor rgb="FFFFFFFF"/>
      </patternFill>
    </fill>
    <fill>
      <patternFill patternType="solid">
        <fgColor rgb="FFD9D9D9"/>
        <bgColor rgb="FFD9D9D9"/>
      </patternFill>
    </fill>
    <fill>
      <patternFill patternType="solid">
        <fgColor rgb="FF434343"/>
        <bgColor rgb="FF434343"/>
      </patternFill>
    </fill>
    <fill>
      <patternFill patternType="solid">
        <fgColor theme="6"/>
        <bgColor theme="6"/>
      </patternFill>
    </fill>
    <fill>
      <patternFill patternType="solid">
        <fgColor rgb="FFCFE2F3"/>
        <bgColor rgb="FFCFE2F3"/>
      </patternFill>
    </fill>
    <fill>
      <patternFill patternType="solid">
        <fgColor rgb="FFFFF2CC"/>
        <bgColor rgb="FFFFF2CC"/>
      </patternFill>
    </fill>
    <fill>
      <patternFill patternType="solid">
        <fgColor rgb="FFF4CCCC"/>
        <bgColor rgb="FFF4CCCC"/>
      </patternFill>
    </fill>
  </fills>
  <borders count="2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border>
    <border>
      <left style="thin">
        <color rgb="FF000000"/>
      </left>
      <right style="thick">
        <color rgb="FF000000"/>
      </right>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bottom style="thick">
        <color rgb="FF000000"/>
      </bottom>
    </border>
    <border>
      <left style="thin">
        <color rgb="FF000000"/>
      </left>
      <right style="thick">
        <color rgb="FF000000"/>
      </right>
      <bottom style="thick">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1" fillId="2" fontId="3" numFmtId="0" xfId="0" applyAlignment="1" applyBorder="1" applyFill="1" applyFont="1">
      <alignment readingOrder="0"/>
    </xf>
    <xf borderId="1" fillId="0" fontId="1" numFmtId="0" xfId="0" applyBorder="1" applyFont="1"/>
    <xf borderId="1" fillId="3" fontId="3" numFmtId="0" xfId="0" applyAlignment="1" applyBorder="1" applyFill="1" applyFont="1">
      <alignment readingOrder="0"/>
    </xf>
    <xf borderId="2" fillId="0" fontId="1" numFmtId="0" xfId="0" applyBorder="1" applyFont="1"/>
    <xf borderId="3" fillId="0" fontId="4" numFmtId="0" xfId="0" applyBorder="1" applyFont="1"/>
    <xf borderId="1" fillId="4" fontId="2" numFmtId="0" xfId="0" applyAlignment="1" applyBorder="1" applyFill="1" applyFont="1">
      <alignment readingOrder="0"/>
    </xf>
    <xf borderId="1" fillId="0" fontId="1" numFmtId="164" xfId="0" applyAlignment="1" applyBorder="1" applyFont="1" applyNumberFormat="1">
      <alignment readingOrder="0"/>
    </xf>
    <xf borderId="2" fillId="5" fontId="2" numFmtId="0" xfId="0" applyAlignment="1" applyBorder="1" applyFill="1" applyFont="1">
      <alignment readingOrder="0"/>
    </xf>
    <xf borderId="0" fillId="0" fontId="1" numFmtId="0" xfId="0" applyAlignment="1" applyFont="1">
      <alignment readingOrder="0"/>
    </xf>
    <xf borderId="4" fillId="6" fontId="1" numFmtId="0" xfId="0" applyAlignment="1" applyBorder="1" applyFill="1" applyFont="1">
      <alignment readingOrder="0"/>
    </xf>
    <xf borderId="3" fillId="6" fontId="1" numFmtId="0" xfId="0" applyAlignment="1" applyBorder="1" applyFont="1">
      <alignment readingOrder="0"/>
    </xf>
    <xf borderId="0" fillId="0" fontId="5" numFmtId="0" xfId="0" applyAlignment="1" applyFont="1">
      <alignment horizontal="center" readingOrder="0"/>
    </xf>
    <xf borderId="1" fillId="7" fontId="6" numFmtId="0" xfId="0" applyAlignment="1" applyBorder="1" applyFill="1" applyFont="1">
      <alignment horizontal="center" readingOrder="0"/>
    </xf>
    <xf borderId="0" fillId="0" fontId="7" numFmtId="0" xfId="0" applyAlignment="1" applyFont="1">
      <alignment horizontal="center" readingOrder="0"/>
    </xf>
    <xf borderId="1" fillId="0" fontId="7" numFmtId="0" xfId="0" applyAlignment="1" applyBorder="1" applyFont="1">
      <alignment horizontal="center" readingOrder="0" vertical="bottom"/>
    </xf>
    <xf borderId="5" fillId="0" fontId="7" numFmtId="0" xfId="0" applyAlignment="1" applyBorder="1" applyFont="1">
      <alignment horizontal="center" readingOrder="0" vertical="bottom"/>
    </xf>
    <xf borderId="5" fillId="0" fontId="7" numFmtId="0" xfId="0" applyAlignment="1" applyBorder="1" applyFont="1">
      <alignment horizontal="center" vertical="bottom"/>
    </xf>
    <xf borderId="0" fillId="8" fontId="8" numFmtId="0" xfId="0" applyAlignment="1" applyFill="1" applyFont="1">
      <alignment horizontal="center" readingOrder="0" shrinkToFit="0" vertical="top" wrapText="1"/>
    </xf>
    <xf borderId="1" fillId="8" fontId="8" numFmtId="0" xfId="0" applyAlignment="1" applyBorder="1" applyFont="1">
      <alignment horizontal="center" readingOrder="0" shrinkToFit="0" vertical="top" wrapText="1"/>
    </xf>
    <xf borderId="0" fillId="0" fontId="1" numFmtId="0" xfId="0" applyAlignment="1" applyFont="1">
      <alignment shrinkToFit="0" vertical="top" wrapText="1"/>
    </xf>
    <xf borderId="1" fillId="9" fontId="1" numFmtId="0" xfId="0" applyAlignment="1" applyBorder="1" applyFill="1" applyFont="1">
      <alignment horizontal="center" readingOrder="0"/>
    </xf>
    <xf borderId="0" fillId="0" fontId="5" numFmtId="0" xfId="0" applyAlignment="1" applyFont="1">
      <alignment readingOrder="0"/>
    </xf>
    <xf borderId="1" fillId="0" fontId="5" numFmtId="0" xfId="0" applyAlignment="1" applyBorder="1" applyFont="1">
      <alignment readingOrder="0"/>
    </xf>
    <xf borderId="6" fillId="0" fontId="1" numFmtId="0" xfId="0" applyBorder="1" applyFont="1"/>
    <xf borderId="7" fillId="0" fontId="4" numFmtId="0" xfId="0" applyBorder="1" applyFont="1"/>
    <xf borderId="5" fillId="0" fontId="4" numFmtId="0" xfId="0" applyBorder="1" applyFont="1"/>
    <xf borderId="6" fillId="10" fontId="9" numFmtId="0" xfId="0" applyAlignment="1" applyBorder="1" applyFill="1" applyFont="1">
      <alignment vertical="top"/>
    </xf>
    <xf borderId="8" fillId="2" fontId="3" numFmtId="0" xfId="0" applyAlignment="1" applyBorder="1" applyFont="1">
      <alignment readingOrder="0"/>
    </xf>
    <xf borderId="9" fillId="0" fontId="4" numFmtId="0" xfId="0" applyBorder="1" applyFont="1"/>
    <xf borderId="0" fillId="0" fontId="2" numFmtId="0" xfId="0" applyFont="1"/>
    <xf borderId="8" fillId="11" fontId="2" numFmtId="0" xfId="0" applyAlignment="1" applyBorder="1" applyFill="1" applyFont="1">
      <alignment readingOrder="0"/>
    </xf>
    <xf borderId="10" fillId="3" fontId="3" numFmtId="0" xfId="0" applyAlignment="1" applyBorder="1" applyFont="1">
      <alignment readingOrder="0"/>
    </xf>
    <xf borderId="11" fillId="0" fontId="4" numFmtId="0" xfId="0" applyBorder="1" applyFont="1"/>
    <xf borderId="12" fillId="12" fontId="10" numFmtId="0" xfId="0" applyAlignment="1" applyBorder="1" applyFill="1" applyFont="1">
      <alignment readingOrder="0" vertical="center"/>
    </xf>
    <xf borderId="13" fillId="12" fontId="10" numFmtId="0" xfId="0" applyAlignment="1" applyBorder="1" applyFont="1">
      <alignment readingOrder="0" shrinkToFit="0" vertical="center" wrapText="1"/>
    </xf>
    <xf borderId="0" fillId="0" fontId="10" numFmtId="0" xfId="0" applyAlignment="1" applyFont="1">
      <alignment vertical="center"/>
    </xf>
    <xf borderId="12" fillId="13" fontId="10" numFmtId="0" xfId="0" applyAlignment="1" applyBorder="1" applyFill="1" applyFont="1">
      <alignment readingOrder="0" shrinkToFit="0" vertical="center" wrapText="1"/>
    </xf>
    <xf borderId="13" fillId="13" fontId="10" numFmtId="0" xfId="0" applyAlignment="1" applyBorder="1" applyFont="1">
      <alignment readingOrder="0" shrinkToFit="0" vertical="center" wrapText="1"/>
    </xf>
    <xf borderId="14" fillId="14" fontId="10" numFmtId="0" xfId="0" applyAlignment="1" applyBorder="1" applyFill="1" applyFont="1">
      <alignment readingOrder="0" shrinkToFit="0" vertical="center" wrapText="1"/>
    </xf>
    <xf borderId="15" fillId="14" fontId="10" numFmtId="0" xfId="0" applyAlignment="1" applyBorder="1" applyFont="1">
      <alignment readingOrder="0" shrinkToFit="0" vertical="center" wrapText="1"/>
    </xf>
    <xf borderId="0" fillId="0" fontId="3" numFmtId="0" xfId="0" applyAlignment="1" applyFont="1">
      <alignment readingOrder="0"/>
    </xf>
    <xf borderId="0" fillId="0" fontId="2" numFmtId="0" xfId="0" applyAlignment="1" applyFont="1">
      <alignment horizontal="center"/>
    </xf>
    <xf borderId="0" fillId="0" fontId="2" numFmtId="0" xfId="0" applyAlignment="1" applyFont="1">
      <alignment horizontal="center" vertical="center"/>
    </xf>
    <xf borderId="16" fillId="12" fontId="11" numFmtId="0" xfId="0" applyAlignment="1" applyBorder="1" applyFont="1">
      <alignment readingOrder="0" shrinkToFit="0" wrapText="1"/>
    </xf>
    <xf borderId="17" fillId="12" fontId="2" numFmtId="4" xfId="0" applyAlignment="1" applyBorder="1" applyFont="1" applyNumberFormat="1">
      <alignment horizontal="center" vertical="center"/>
    </xf>
    <xf borderId="0" fillId="0" fontId="12" numFmtId="0" xfId="0" applyAlignment="1" applyFont="1">
      <alignment readingOrder="0" vertical="top"/>
    </xf>
    <xf borderId="18" fillId="13" fontId="11" numFmtId="0" xfId="0" applyAlignment="1" applyBorder="1" applyFont="1">
      <alignment readingOrder="0" shrinkToFit="0" wrapText="1"/>
    </xf>
    <xf borderId="19" fillId="13" fontId="2" numFmtId="4" xfId="0" applyAlignment="1" applyBorder="1" applyFont="1" applyNumberFormat="1">
      <alignment horizontal="center" vertical="center"/>
    </xf>
    <xf borderId="18" fillId="14" fontId="11" numFmtId="0" xfId="0" applyAlignment="1" applyBorder="1" applyFont="1">
      <alignment readingOrder="0" shrinkToFit="0" wrapText="1"/>
    </xf>
    <xf borderId="19" fillId="14" fontId="2" numFmtId="4" xfId="0" applyAlignment="1" applyBorder="1" applyFont="1" applyNumberFormat="1">
      <alignment horizontal="center" vertical="center"/>
    </xf>
    <xf borderId="0" fillId="0" fontId="12" numFmtId="0" xfId="0" applyAlignment="1" applyFont="1">
      <alignment readingOrder="0"/>
    </xf>
    <xf borderId="12" fillId="12" fontId="11" numFmtId="0" xfId="0" applyAlignment="1" applyBorder="1" applyFont="1">
      <alignment readingOrder="0" shrinkToFit="0" wrapText="1"/>
    </xf>
    <xf borderId="13" fillId="12" fontId="2" numFmtId="4" xfId="0" applyAlignment="1" applyBorder="1" applyFont="1" applyNumberFormat="1">
      <alignment horizontal="center" vertical="center"/>
    </xf>
    <xf borderId="20" fillId="8" fontId="11" numFmtId="0" xfId="0" applyAlignment="1" applyBorder="1" applyFont="1">
      <alignment readingOrder="0" shrinkToFit="0" wrapText="1"/>
    </xf>
    <xf borderId="21" fillId="0" fontId="2" numFmtId="4" xfId="0" applyAlignment="1" applyBorder="1" applyFont="1" applyNumberFormat="1">
      <alignment horizontal="center" vertical="center"/>
    </xf>
    <xf borderId="22" fillId="8" fontId="11" numFmtId="0" xfId="0" applyAlignment="1" applyBorder="1" applyFont="1">
      <alignment readingOrder="0" shrinkToFit="0" wrapText="1"/>
    </xf>
    <xf borderId="23" fillId="0" fontId="2" numFmtId="4" xfId="0" applyAlignment="1" applyBorder="1" applyFont="1" applyNumberFormat="1">
      <alignment horizontal="center" vertical="center"/>
    </xf>
    <xf borderId="0" fillId="0" fontId="1" numFmtId="0" xfId="0" applyAlignment="1" applyFont="1">
      <alignment vertical="top"/>
    </xf>
    <xf borderId="12" fillId="8" fontId="11" numFmtId="0" xfId="0" applyAlignment="1" applyBorder="1" applyFont="1">
      <alignment readingOrder="0" shrinkToFit="0" wrapText="1"/>
    </xf>
    <xf borderId="13" fillId="0" fontId="2" numFmtId="4" xfId="0" applyAlignment="1" applyBorder="1" applyFont="1" applyNumberFormat="1">
      <alignment horizontal="center" vertical="center"/>
    </xf>
    <xf borderId="0" fillId="0" fontId="2" numFmtId="0" xfId="0" applyAlignment="1" applyFont="1">
      <alignment horizontal="center" vertical="top"/>
    </xf>
    <xf borderId="24" fillId="8" fontId="11" numFmtId="0" xfId="0" applyAlignment="1" applyBorder="1" applyFont="1">
      <alignment readingOrder="0" shrinkToFit="0" wrapText="1"/>
    </xf>
    <xf borderId="25" fillId="0" fontId="2" numFmtId="4" xfId="0" applyAlignment="1" applyBorder="1" applyFont="1" applyNumberFormat="1">
      <alignment horizontal="center" vertical="center"/>
    </xf>
    <xf borderId="0" fillId="0" fontId="13" numFmtId="0" xfId="0" applyAlignment="1" applyFont="1">
      <alignment readingOrder="0"/>
    </xf>
    <xf borderId="0" fillId="0" fontId="14" numFmtId="0" xfId="0" applyAlignment="1" applyFont="1">
      <alignment horizontal="left" readingOrder="0"/>
    </xf>
    <xf borderId="0" fillId="0" fontId="15" numFmtId="0" xfId="0" applyAlignment="1" applyFont="1">
      <alignment readingOrder="0"/>
    </xf>
    <xf borderId="0" fillId="8" fontId="14" numFmtId="0" xfId="0" applyAlignment="1" applyFont="1">
      <alignment horizontal="left" readingOrder="0"/>
    </xf>
    <xf borderId="0" fillId="8" fontId="11" numFmtId="0" xfId="0" applyAlignment="1" applyFont="1">
      <alignment readingOrder="0"/>
    </xf>
    <xf borderId="0" fillId="8" fontId="11" numFmtId="0" xfId="0" applyAlignment="1" applyFont="1">
      <alignment readingOrder="0" shrinkToFit="0" wrapText="1"/>
    </xf>
    <xf borderId="0" fillId="0" fontId="2" numFmtId="4" xfId="0" applyAlignment="1" applyFont="1" applyNumberFormat="1">
      <alignment horizontal="center" vertical="center"/>
    </xf>
    <xf borderId="0" fillId="0" fontId="1" numFmtId="4" xfId="0" applyFont="1" applyNumberFormat="1"/>
    <xf borderId="0" fillId="2" fontId="3" numFmtId="0" xfId="0" applyAlignment="1" applyFont="1">
      <alignment readingOrder="0"/>
    </xf>
    <xf borderId="0" fillId="4" fontId="2" numFmtId="0" xfId="0" applyAlignment="1" applyFont="1">
      <alignment readingOrder="0"/>
    </xf>
    <xf borderId="0" fillId="3" fontId="3" numFmtId="0" xfId="0" applyAlignment="1" applyFont="1">
      <alignment readingOrder="0"/>
    </xf>
    <xf borderId="0" fillId="0" fontId="16" numFmtId="0" xfId="0" applyAlignment="1" applyFont="1">
      <alignment readingOrder="0"/>
    </xf>
    <xf borderId="0" fillId="13" fontId="1" numFmtId="0" xfId="0" applyAlignment="1" applyFont="1">
      <alignment shrinkToFit="0" wrapText="1"/>
    </xf>
    <xf borderId="0" fillId="0" fontId="1" numFmtId="164" xfId="0" applyFont="1" applyNumberFormat="1"/>
    <xf borderId="0" fillId="1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w="19050">
              <a:solidFill>
                <a:srgbClr val="4285F4"/>
              </a:solidFill>
            </a:ln>
          </c:spPr>
          <c:marker>
            <c:symbol val="circle"/>
            <c:size val="7"/>
            <c:spPr>
              <a:solidFill>
                <a:srgbClr val="4285F4"/>
              </a:solidFill>
              <a:ln cmpd="sng">
                <a:solidFill>
                  <a:srgbClr val="4285F4"/>
                </a:solidFill>
              </a:ln>
            </c:spPr>
          </c:marker>
          <c:cat>
            <c:strRef>
              <c:f>Diagnosis!$B$30:$I$30</c:f>
            </c:strRef>
          </c:cat>
          <c:val>
            <c:numRef>
              <c:f>Diagnosis!$B$31:$I$31</c:f>
              <c:numCache/>
            </c:numRef>
          </c:val>
          <c:smooth val="1"/>
        </c:ser>
        <c:axId val="543911347"/>
        <c:axId val="251188747"/>
      </c:radarChart>
      <c:catAx>
        <c:axId val="5439113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51188747"/>
      </c:catAx>
      <c:valAx>
        <c:axId val="251188747"/>
        <c:scaling>
          <c:orientation val="minMax"/>
          <c:max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391134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200025</xdr:colOff>
      <xdr:row>0</xdr:row>
      <xdr:rowOff>200025</xdr:rowOff>
    </xdr:from>
    <xdr:ext cx="10201275" cy="5743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1914525" cy="10763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533400</xdr:colOff>
      <xdr:row>0</xdr:row>
      <xdr:rowOff>171450</xdr:rowOff>
    </xdr:from>
    <xdr:ext cx="5715000" cy="4819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9" width="25.13"/>
    <col customWidth="1" min="10" max="10" width="35.13"/>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2"/>
      <c r="B2" s="3" t="s">
        <v>0</v>
      </c>
      <c r="C2" s="1"/>
      <c r="D2" s="1"/>
      <c r="E2" s="1"/>
      <c r="F2" s="1"/>
      <c r="G2" s="1"/>
      <c r="H2" s="1"/>
      <c r="I2" s="1"/>
      <c r="J2" s="1"/>
      <c r="K2" s="1"/>
      <c r="L2" s="1"/>
      <c r="M2" s="1"/>
      <c r="N2" s="1"/>
      <c r="O2" s="1"/>
      <c r="P2" s="1"/>
      <c r="Q2" s="1"/>
      <c r="R2" s="1"/>
      <c r="S2" s="1"/>
      <c r="T2" s="1"/>
      <c r="U2" s="1"/>
      <c r="V2" s="1"/>
      <c r="W2" s="1"/>
      <c r="X2" s="1"/>
      <c r="Y2" s="1"/>
      <c r="Z2" s="1"/>
      <c r="AA2" s="1"/>
    </row>
    <row r="3">
      <c r="A3" s="1"/>
      <c r="B3" s="4"/>
      <c r="C3" s="1"/>
      <c r="D3" s="1"/>
      <c r="E3" s="1"/>
      <c r="F3" s="1"/>
      <c r="G3" s="1"/>
      <c r="H3" s="1"/>
      <c r="I3" s="1"/>
      <c r="J3" s="1"/>
      <c r="K3" s="1"/>
      <c r="L3" s="1"/>
      <c r="M3" s="1"/>
      <c r="N3" s="1"/>
      <c r="O3" s="1"/>
      <c r="P3" s="1"/>
      <c r="Q3" s="1"/>
      <c r="R3" s="1"/>
      <c r="S3" s="1"/>
      <c r="T3" s="1"/>
      <c r="U3" s="1"/>
      <c r="V3" s="1"/>
      <c r="W3" s="1"/>
      <c r="X3" s="1"/>
      <c r="Y3" s="1"/>
      <c r="Z3" s="1"/>
      <c r="AA3" s="1"/>
    </row>
    <row r="4">
      <c r="A4" s="1"/>
      <c r="B4" s="1"/>
      <c r="C4" s="1"/>
      <c r="D4" s="1"/>
      <c r="E4" s="1"/>
      <c r="F4" s="1"/>
      <c r="G4" s="1"/>
      <c r="H4" s="1"/>
      <c r="I4" s="1"/>
      <c r="J4" s="1"/>
      <c r="K4" s="1"/>
      <c r="L4" s="1"/>
      <c r="M4" s="1"/>
      <c r="N4" s="1"/>
      <c r="O4" s="1"/>
      <c r="P4" s="1"/>
      <c r="Q4" s="1"/>
      <c r="R4" s="1"/>
      <c r="S4" s="1"/>
      <c r="T4" s="1"/>
      <c r="U4" s="1"/>
      <c r="V4" s="1"/>
      <c r="W4" s="1"/>
      <c r="X4" s="1"/>
      <c r="Y4" s="1"/>
      <c r="Z4" s="1"/>
      <c r="AA4" s="1"/>
    </row>
    <row r="5">
      <c r="A5" s="2"/>
      <c r="B5" s="5" t="s">
        <v>1</v>
      </c>
      <c r="C5" s="1"/>
      <c r="D5" s="1"/>
      <c r="E5" s="1"/>
      <c r="F5" s="1"/>
      <c r="G5" s="1"/>
      <c r="H5" s="1"/>
      <c r="I5" s="1"/>
      <c r="J5" s="1"/>
      <c r="K5" s="1"/>
      <c r="L5" s="1"/>
      <c r="M5" s="1"/>
      <c r="N5" s="1"/>
      <c r="O5" s="1"/>
      <c r="P5" s="1"/>
      <c r="Q5" s="1"/>
      <c r="R5" s="1"/>
      <c r="S5" s="1"/>
      <c r="T5" s="1"/>
      <c r="U5" s="1"/>
      <c r="V5" s="1"/>
      <c r="W5" s="1"/>
      <c r="X5" s="1"/>
      <c r="Y5" s="1"/>
      <c r="Z5" s="1"/>
      <c r="AA5" s="1"/>
    </row>
    <row r="6">
      <c r="A6" s="1"/>
      <c r="B6" s="6"/>
      <c r="C6" s="1"/>
      <c r="D6" s="1"/>
      <c r="E6" s="1"/>
      <c r="F6" s="1"/>
      <c r="G6" s="1"/>
      <c r="H6" s="1"/>
      <c r="I6" s="1"/>
      <c r="J6" s="1"/>
      <c r="K6" s="1"/>
      <c r="L6" s="1"/>
      <c r="M6" s="1"/>
      <c r="N6" s="1"/>
      <c r="O6" s="1"/>
      <c r="P6" s="1"/>
      <c r="Q6" s="1"/>
      <c r="R6" s="1"/>
      <c r="S6" s="1"/>
      <c r="T6" s="1"/>
      <c r="U6" s="1"/>
      <c r="V6" s="1"/>
      <c r="W6" s="1"/>
      <c r="X6" s="1"/>
      <c r="Y6" s="1"/>
      <c r="Z6" s="1"/>
      <c r="AA6" s="1"/>
    </row>
    <row r="7">
      <c r="A7" s="1"/>
      <c r="B7" s="7"/>
      <c r="C7" s="1"/>
      <c r="D7" s="1"/>
      <c r="E7" s="1"/>
      <c r="F7" s="1"/>
      <c r="G7" s="1"/>
      <c r="H7" s="1"/>
      <c r="I7" s="1"/>
      <c r="J7" s="1"/>
      <c r="K7" s="1"/>
      <c r="L7" s="1"/>
      <c r="M7" s="1"/>
      <c r="N7" s="1"/>
      <c r="O7" s="1"/>
      <c r="P7" s="1"/>
      <c r="Q7" s="1"/>
      <c r="R7" s="1"/>
      <c r="S7" s="1"/>
      <c r="T7" s="1"/>
      <c r="U7" s="1"/>
      <c r="V7" s="1"/>
      <c r="W7" s="1"/>
      <c r="X7" s="1"/>
      <c r="Y7" s="1"/>
      <c r="Z7" s="1"/>
      <c r="AA7" s="1"/>
    </row>
    <row r="8">
      <c r="A8" s="1"/>
      <c r="B8" s="1"/>
      <c r="C8" s="1"/>
      <c r="D8" s="1"/>
      <c r="E8" s="1"/>
      <c r="F8" s="1"/>
      <c r="G8" s="1"/>
      <c r="H8" s="1"/>
      <c r="I8" s="1"/>
      <c r="J8" s="1"/>
      <c r="K8" s="1"/>
      <c r="L8" s="1"/>
      <c r="M8" s="1"/>
      <c r="N8" s="1"/>
      <c r="O8" s="1"/>
      <c r="P8" s="1"/>
      <c r="Q8" s="1"/>
      <c r="R8" s="1"/>
      <c r="S8" s="1"/>
      <c r="T8" s="1"/>
      <c r="U8" s="1"/>
      <c r="V8" s="1"/>
      <c r="W8" s="1"/>
      <c r="X8" s="1"/>
      <c r="Y8" s="1"/>
      <c r="Z8" s="1"/>
      <c r="AA8" s="1"/>
    </row>
    <row r="9">
      <c r="A9" s="2"/>
      <c r="B9" s="8" t="s">
        <v>2</v>
      </c>
      <c r="C9" s="1"/>
      <c r="D9" s="1"/>
      <c r="E9" s="1"/>
      <c r="F9" s="1"/>
      <c r="G9" s="1"/>
      <c r="H9" s="1"/>
      <c r="I9" s="1"/>
      <c r="J9" s="1"/>
      <c r="K9" s="1"/>
      <c r="L9" s="1"/>
      <c r="M9" s="1"/>
      <c r="N9" s="1"/>
      <c r="O9" s="1"/>
      <c r="P9" s="1"/>
      <c r="Q9" s="1"/>
      <c r="R9" s="1"/>
      <c r="S9" s="1"/>
      <c r="T9" s="1"/>
      <c r="U9" s="1"/>
      <c r="V9" s="1"/>
      <c r="W9" s="1"/>
      <c r="X9" s="1"/>
      <c r="Y9" s="1"/>
      <c r="Z9" s="1"/>
      <c r="AA9" s="1"/>
    </row>
    <row r="10">
      <c r="A10" s="1"/>
      <c r="B10" s="9">
        <v>45203.0</v>
      </c>
      <c r="C10" s="1"/>
      <c r="D10" s="1"/>
      <c r="E10" s="1"/>
      <c r="F10" s="1"/>
      <c r="G10" s="1"/>
      <c r="H10" s="1"/>
      <c r="I10" s="1"/>
      <c r="J10" s="1"/>
      <c r="K10" s="1"/>
      <c r="L10" s="1"/>
      <c r="M10" s="1"/>
      <c r="N10" s="1"/>
      <c r="O10" s="1"/>
      <c r="P10" s="1"/>
      <c r="Q10" s="1"/>
      <c r="R10" s="1"/>
      <c r="S10" s="1"/>
      <c r="T10" s="1"/>
      <c r="U10" s="1"/>
      <c r="V10" s="1"/>
      <c r="W10" s="1"/>
      <c r="X10" s="1"/>
      <c r="Y10" s="1"/>
      <c r="Z10" s="1"/>
      <c r="AA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2"/>
      <c r="B24" s="10" t="s">
        <v>3</v>
      </c>
      <c r="C24" s="1"/>
      <c r="D24" s="1"/>
      <c r="E24" s="1"/>
      <c r="F24" s="1"/>
      <c r="G24" s="1"/>
      <c r="H24" s="1"/>
      <c r="I24" s="1"/>
      <c r="J24" s="1"/>
      <c r="K24" s="1"/>
      <c r="L24" s="1"/>
      <c r="M24" s="1"/>
      <c r="N24" s="1"/>
      <c r="O24" s="1"/>
      <c r="P24" s="1"/>
      <c r="Q24" s="1"/>
      <c r="R24" s="1"/>
      <c r="S24" s="1"/>
      <c r="T24" s="1"/>
      <c r="U24" s="1"/>
      <c r="V24" s="1"/>
      <c r="W24" s="1"/>
      <c r="X24" s="1"/>
      <c r="Y24" s="1"/>
      <c r="Z24" s="1"/>
      <c r="AA24" s="1"/>
    </row>
    <row r="25">
      <c r="A25" s="11"/>
      <c r="B25" s="12" t="s">
        <v>4</v>
      </c>
      <c r="C25" s="1"/>
      <c r="D25" s="1"/>
      <c r="E25" s="1"/>
      <c r="F25" s="1"/>
      <c r="G25" s="1"/>
      <c r="H25" s="1"/>
      <c r="I25" s="1"/>
      <c r="J25" s="1"/>
      <c r="K25" s="1"/>
      <c r="L25" s="1"/>
      <c r="M25" s="1"/>
      <c r="N25" s="1"/>
      <c r="O25" s="1"/>
      <c r="P25" s="1"/>
      <c r="Q25" s="1"/>
      <c r="R25" s="1"/>
      <c r="S25" s="1"/>
      <c r="T25" s="1"/>
      <c r="U25" s="1"/>
      <c r="V25" s="1"/>
      <c r="W25" s="1"/>
      <c r="X25" s="1"/>
      <c r="Y25" s="1"/>
      <c r="Z25" s="1"/>
      <c r="AA25" s="1"/>
    </row>
    <row r="26">
      <c r="A26" s="11"/>
      <c r="B26" s="12" t="s">
        <v>5</v>
      </c>
      <c r="C26" s="1"/>
      <c r="D26" s="1"/>
      <c r="E26" s="1"/>
      <c r="F26" s="1"/>
      <c r="G26" s="1"/>
      <c r="H26" s="1"/>
      <c r="I26" s="1"/>
      <c r="J26" s="1"/>
      <c r="K26" s="1"/>
      <c r="L26" s="1"/>
      <c r="M26" s="1"/>
      <c r="N26" s="1"/>
      <c r="O26" s="1"/>
      <c r="P26" s="1"/>
      <c r="Q26" s="1"/>
      <c r="R26" s="1"/>
      <c r="S26" s="1"/>
      <c r="T26" s="1"/>
      <c r="U26" s="1"/>
      <c r="V26" s="1"/>
      <c r="W26" s="1"/>
      <c r="X26" s="1"/>
      <c r="Y26" s="1"/>
      <c r="Z26" s="1"/>
      <c r="AA26" s="1"/>
    </row>
    <row r="27">
      <c r="A27" s="11"/>
      <c r="B27" s="12" t="s">
        <v>6</v>
      </c>
      <c r="C27" s="1"/>
      <c r="D27" s="1"/>
      <c r="E27" s="1"/>
      <c r="F27" s="1"/>
      <c r="G27" s="1"/>
      <c r="H27" s="1"/>
      <c r="I27" s="1"/>
      <c r="J27" s="1"/>
      <c r="K27" s="1"/>
      <c r="L27" s="1"/>
      <c r="M27" s="1"/>
      <c r="N27" s="1"/>
      <c r="O27" s="1"/>
      <c r="P27" s="1"/>
      <c r="Q27" s="1"/>
      <c r="R27" s="1"/>
      <c r="S27" s="1"/>
      <c r="T27" s="1"/>
      <c r="U27" s="1"/>
      <c r="V27" s="1"/>
      <c r="W27" s="1"/>
      <c r="X27" s="1"/>
      <c r="Y27" s="1"/>
      <c r="Z27" s="1"/>
      <c r="AA27" s="1"/>
    </row>
    <row r="28">
      <c r="A28" s="11"/>
      <c r="B28" s="13" t="s">
        <v>7</v>
      </c>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4"/>
      <c r="B30" s="15" t="s">
        <v>8</v>
      </c>
      <c r="C30" s="15" t="s">
        <v>9</v>
      </c>
      <c r="D30" s="15" t="s">
        <v>10</v>
      </c>
      <c r="E30" s="15" t="s">
        <v>11</v>
      </c>
      <c r="F30" s="15" t="s">
        <v>12</v>
      </c>
      <c r="G30" s="15" t="s">
        <v>13</v>
      </c>
      <c r="H30" s="15" t="s">
        <v>14</v>
      </c>
      <c r="I30" s="15" t="s">
        <v>15</v>
      </c>
      <c r="J30" s="1"/>
      <c r="K30" s="1"/>
      <c r="L30" s="1"/>
      <c r="M30" s="1"/>
      <c r="N30" s="1"/>
      <c r="O30" s="1"/>
      <c r="P30" s="1"/>
      <c r="Q30" s="1"/>
      <c r="R30" s="1"/>
      <c r="S30" s="1"/>
      <c r="T30" s="1"/>
      <c r="U30" s="1"/>
      <c r="V30" s="1"/>
      <c r="W30" s="1"/>
      <c r="X30" s="1"/>
      <c r="Y30" s="1"/>
      <c r="Z30" s="1"/>
      <c r="AA30" s="1"/>
    </row>
    <row r="31">
      <c r="A31" s="16"/>
      <c r="B31" s="17">
        <v>1.0</v>
      </c>
      <c r="C31" s="18">
        <v>2.0</v>
      </c>
      <c r="D31" s="18">
        <v>0.0</v>
      </c>
      <c r="E31" s="19">
        <v>2.0</v>
      </c>
      <c r="F31" s="18">
        <v>3.0</v>
      </c>
      <c r="G31" s="18">
        <v>2.0</v>
      </c>
      <c r="H31" s="18">
        <v>1.0</v>
      </c>
      <c r="I31" s="18">
        <v>2.0</v>
      </c>
      <c r="J31" s="1"/>
      <c r="K31" s="1"/>
      <c r="L31" s="1"/>
      <c r="M31" s="1"/>
      <c r="N31" s="1"/>
      <c r="O31" s="1"/>
      <c r="P31" s="1"/>
      <c r="Q31" s="1"/>
      <c r="R31" s="1"/>
      <c r="S31" s="1"/>
      <c r="T31" s="1"/>
      <c r="U31" s="1"/>
      <c r="V31" s="1"/>
      <c r="W31" s="1"/>
      <c r="X31" s="1"/>
      <c r="Y31" s="1"/>
      <c r="Z31" s="1"/>
      <c r="AA31" s="1"/>
    </row>
    <row r="32" ht="81.75" customHeight="1">
      <c r="A32" s="20"/>
      <c r="B32" s="21" t="s">
        <v>16</v>
      </c>
      <c r="C32" s="21" t="s">
        <v>17</v>
      </c>
      <c r="D32" s="21" t="s">
        <v>18</v>
      </c>
      <c r="E32" s="21" t="s">
        <v>19</v>
      </c>
      <c r="F32" s="21" t="s">
        <v>20</v>
      </c>
      <c r="G32" s="21" t="s">
        <v>21</v>
      </c>
      <c r="H32" s="21" t="s">
        <v>22</v>
      </c>
      <c r="I32" s="21" t="s">
        <v>23</v>
      </c>
      <c r="J32" s="22"/>
      <c r="K32" s="22"/>
      <c r="L32" s="22"/>
      <c r="M32" s="22"/>
      <c r="N32" s="22"/>
      <c r="O32" s="22"/>
      <c r="P32" s="22"/>
      <c r="Q32" s="22"/>
      <c r="R32" s="22"/>
      <c r="S32" s="22"/>
      <c r="T32" s="22"/>
      <c r="U32" s="22"/>
      <c r="V32" s="22"/>
      <c r="W32" s="22"/>
      <c r="X32" s="22"/>
      <c r="Y32" s="22"/>
      <c r="Z32" s="22"/>
      <c r="AA32" s="22"/>
    </row>
    <row r="33">
      <c r="A33" s="1"/>
      <c r="B33" s="23" t="s">
        <v>24</v>
      </c>
      <c r="C33" s="23" t="s">
        <v>24</v>
      </c>
      <c r="D33" s="23" t="s">
        <v>24</v>
      </c>
      <c r="E33" s="23" t="s">
        <v>24</v>
      </c>
      <c r="F33" s="23" t="s">
        <v>24</v>
      </c>
      <c r="G33" s="23" t="s">
        <v>24</v>
      </c>
      <c r="H33" s="23" t="s">
        <v>24</v>
      </c>
      <c r="I33" s="23" t="s">
        <v>24</v>
      </c>
      <c r="J33" s="1"/>
      <c r="K33" s="1"/>
      <c r="L33" s="1"/>
      <c r="M33" s="1"/>
      <c r="N33" s="1"/>
      <c r="O33" s="1"/>
      <c r="P33" s="1"/>
      <c r="Q33" s="1"/>
      <c r="R33" s="1"/>
      <c r="S33" s="1"/>
      <c r="T33" s="1"/>
      <c r="U33" s="1"/>
      <c r="V33" s="1"/>
      <c r="W33" s="1"/>
      <c r="X33" s="1"/>
      <c r="Y33" s="1"/>
      <c r="Z33" s="1"/>
      <c r="AA33" s="1"/>
    </row>
    <row r="34" ht="111.0" customHeight="1">
      <c r="A34" s="24"/>
      <c r="B34" s="25"/>
      <c r="C34" s="4"/>
      <c r="D34" s="4"/>
      <c r="E34" s="4"/>
      <c r="F34" s="4"/>
      <c r="G34" s="4"/>
      <c r="H34" s="4"/>
      <c r="I34" s="4"/>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231.75" customHeight="1">
      <c r="A36" s="1"/>
      <c r="B36" s="26"/>
      <c r="C36" s="27"/>
      <c r="D36" s="28"/>
      <c r="E36" s="29"/>
      <c r="F36" s="27"/>
      <c r="G36" s="27"/>
      <c r="H36" s="27"/>
      <c r="I36" s="28"/>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sheetData>
  <mergeCells count="3">
    <mergeCell ref="B6:B7"/>
    <mergeCell ref="B36:D36"/>
    <mergeCell ref="E36:I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5.38"/>
    <col customWidth="1" min="3" max="3" width="25.63"/>
    <col customWidth="1" min="4" max="4" width="4.75"/>
    <col customWidth="1" min="5" max="5" width="26.38"/>
    <col customWidth="1" min="6" max="6" width="26.88"/>
    <col customWidth="1" min="7" max="7" width="5.38"/>
    <col customWidth="1" min="8" max="8" width="26.38"/>
    <col customWidth="1" min="9" max="9" width="24.0"/>
    <col customWidth="1" min="11" max="11" width="5.0"/>
    <col customWidth="1" min="12" max="12" width="24.0"/>
    <col customWidth="1" min="13" max="13" width="35.63"/>
    <col customWidth="1" min="14" max="14" width="16.63"/>
  </cols>
  <sheetData>
    <row r="1">
      <c r="A1" s="1"/>
      <c r="B1" s="1"/>
      <c r="C1" s="11"/>
      <c r="D1" s="11"/>
      <c r="E1" s="11"/>
      <c r="F1" s="11"/>
      <c r="G1" s="1"/>
      <c r="H1" s="1"/>
      <c r="I1" s="1"/>
      <c r="J1" s="1"/>
      <c r="K1" s="1"/>
      <c r="L1" s="1"/>
      <c r="M1" s="1"/>
      <c r="N1" s="1"/>
      <c r="O1" s="1"/>
      <c r="P1" s="1"/>
      <c r="Q1" s="1"/>
      <c r="R1" s="1"/>
      <c r="S1" s="1"/>
      <c r="T1" s="1"/>
      <c r="U1" s="1"/>
      <c r="V1" s="1"/>
      <c r="W1" s="1"/>
      <c r="X1" s="1"/>
      <c r="Y1" s="1"/>
      <c r="Z1" s="1"/>
      <c r="AA1" s="1"/>
      <c r="AB1" s="1"/>
      <c r="AC1" s="1"/>
    </row>
    <row r="2">
      <c r="A2" s="1"/>
      <c r="B2" s="30" t="s">
        <v>25</v>
      </c>
      <c r="C2" s="31"/>
      <c r="D2" s="32"/>
      <c r="E2" s="33" t="s">
        <v>26</v>
      </c>
      <c r="F2" s="31"/>
      <c r="G2" s="32"/>
      <c r="H2" s="34" t="s">
        <v>27</v>
      </c>
      <c r="I2" s="35"/>
      <c r="J2" s="1"/>
      <c r="K2" s="1"/>
      <c r="L2" s="1"/>
      <c r="M2" s="1"/>
      <c r="N2" s="1"/>
      <c r="O2" s="1"/>
      <c r="P2" s="1"/>
      <c r="Q2" s="1"/>
      <c r="R2" s="1"/>
      <c r="S2" s="1"/>
      <c r="T2" s="1"/>
      <c r="U2" s="1"/>
      <c r="V2" s="1"/>
      <c r="W2" s="1"/>
      <c r="X2" s="1"/>
      <c r="Y2" s="1"/>
      <c r="Z2" s="1"/>
      <c r="AA2" s="1"/>
      <c r="AB2" s="1"/>
      <c r="AC2" s="1"/>
    </row>
    <row r="3" ht="186.0" customHeight="1">
      <c r="A3" s="1"/>
      <c r="B3" s="36" t="s">
        <v>28</v>
      </c>
      <c r="C3" s="37" t="s">
        <v>29</v>
      </c>
      <c r="D3" s="38"/>
      <c r="E3" s="39" t="s">
        <v>30</v>
      </c>
      <c r="F3" s="40" t="s">
        <v>31</v>
      </c>
      <c r="G3" s="38"/>
      <c r="H3" s="41" t="s">
        <v>32</v>
      </c>
      <c r="I3" s="42" t="s">
        <v>33</v>
      </c>
      <c r="J3" s="1"/>
      <c r="K3" s="1"/>
      <c r="L3" s="1"/>
      <c r="M3" s="1"/>
      <c r="N3" s="1"/>
      <c r="O3" s="1"/>
      <c r="P3" s="1"/>
      <c r="Q3" s="1"/>
      <c r="R3" s="1"/>
      <c r="S3" s="1"/>
      <c r="T3" s="1"/>
      <c r="U3" s="1"/>
      <c r="V3" s="1"/>
      <c r="W3" s="1"/>
      <c r="X3" s="1"/>
      <c r="Y3" s="1"/>
      <c r="Z3" s="1"/>
      <c r="AA3" s="1"/>
      <c r="AB3" s="1"/>
      <c r="AC3" s="1"/>
    </row>
    <row r="4">
      <c r="A4" s="1"/>
      <c r="B4" s="43"/>
      <c r="C4" s="44"/>
      <c r="D4" s="44"/>
      <c r="E4" s="45"/>
      <c r="F4" s="45"/>
      <c r="G4" s="1"/>
      <c r="H4" s="1"/>
      <c r="I4" s="1"/>
      <c r="J4" s="1"/>
      <c r="K4" s="1"/>
      <c r="L4" s="1"/>
      <c r="M4" s="1"/>
      <c r="N4" s="1"/>
      <c r="O4" s="1"/>
      <c r="P4" s="1"/>
      <c r="Q4" s="1"/>
      <c r="R4" s="1"/>
      <c r="S4" s="1"/>
      <c r="T4" s="1"/>
      <c r="U4" s="1"/>
      <c r="V4" s="1"/>
      <c r="W4" s="1"/>
      <c r="X4" s="1"/>
      <c r="Y4" s="1"/>
      <c r="Z4" s="1"/>
      <c r="AA4" s="1"/>
      <c r="AB4" s="1"/>
      <c r="AC4" s="1"/>
    </row>
    <row r="5" ht="45.75" customHeight="1">
      <c r="A5" s="1"/>
      <c r="B5" s="46" t="s">
        <v>34</v>
      </c>
      <c r="C5" s="47">
        <f>(Diagnosis!B31+Diagnosis!F31)/2</f>
        <v>2</v>
      </c>
      <c r="D5" s="48"/>
      <c r="E5" s="49" t="s">
        <v>35</v>
      </c>
      <c r="F5" s="50">
        <f>(Diagnosis!B31+Diagnosis!F31)/2</f>
        <v>2</v>
      </c>
      <c r="G5" s="48"/>
      <c r="H5" s="51" t="s">
        <v>36</v>
      </c>
      <c r="I5" s="52">
        <f>(Diagnosis!B31+Diagnosis!F31)/2</f>
        <v>2</v>
      </c>
      <c r="J5" s="53"/>
      <c r="K5" s="1"/>
      <c r="L5" s="1"/>
      <c r="M5" s="1"/>
      <c r="N5" s="1"/>
      <c r="O5" s="1"/>
      <c r="P5" s="1"/>
      <c r="Q5" s="1"/>
      <c r="R5" s="1"/>
      <c r="S5" s="1"/>
      <c r="T5" s="1"/>
      <c r="U5" s="1"/>
      <c r="V5" s="1"/>
      <c r="W5" s="1"/>
      <c r="X5" s="1"/>
      <c r="Y5" s="1"/>
      <c r="Z5" s="1"/>
      <c r="AA5" s="1"/>
      <c r="AB5" s="1"/>
      <c r="AC5" s="1"/>
    </row>
    <row r="6" ht="71.25" customHeight="1">
      <c r="A6" s="1"/>
      <c r="B6" s="54" t="s">
        <v>37</v>
      </c>
      <c r="C6" s="55">
        <f>(Diagnosis!C31+Diagnosis!D31+Diagnosis!E31)/3</f>
        <v>1.333333333</v>
      </c>
      <c r="D6" s="48"/>
      <c r="E6" s="56" t="s">
        <v>38</v>
      </c>
      <c r="F6" s="57">
        <f>(Diagnosis!C31+Diagnosis!D31+Diagnosis!E31)/3</f>
        <v>1.333333333</v>
      </c>
      <c r="G6" s="48"/>
      <c r="H6" s="58" t="s">
        <v>39</v>
      </c>
      <c r="I6" s="59">
        <f>(Diagnosis!C31+Diagnosis!D31+Diagnosis!E31)/3</f>
        <v>1.333333333</v>
      </c>
      <c r="J6" s="53"/>
      <c r="K6" s="1"/>
      <c r="L6" s="1"/>
      <c r="M6" s="1"/>
      <c r="N6" s="1"/>
      <c r="O6" s="1"/>
      <c r="P6" s="1"/>
      <c r="Q6" s="1"/>
      <c r="R6" s="1"/>
      <c r="S6" s="1"/>
      <c r="T6" s="1"/>
      <c r="U6" s="1"/>
      <c r="V6" s="1"/>
      <c r="W6" s="1"/>
      <c r="X6" s="1"/>
      <c r="Y6" s="1"/>
      <c r="Z6" s="1"/>
      <c r="AA6" s="1"/>
      <c r="AB6" s="1"/>
      <c r="AC6" s="1"/>
    </row>
    <row r="7">
      <c r="A7" s="1"/>
      <c r="B7" s="58" t="s">
        <v>40</v>
      </c>
      <c r="C7" s="59">
        <f>(Diagnosis!D31+Diagnosis!E31)/2</f>
        <v>1</v>
      </c>
      <c r="D7" s="60"/>
      <c r="E7" s="49" t="s">
        <v>41</v>
      </c>
      <c r="F7" s="50">
        <f>(Diagnosis!G31+Diagnosis!H31)/2</f>
        <v>1.5</v>
      </c>
      <c r="G7" s="60"/>
      <c r="H7" s="56" t="s">
        <v>42</v>
      </c>
      <c r="I7" s="57">
        <f>(Diagnosis!G31+Diagnosis!H31)/2</f>
        <v>1.5</v>
      </c>
      <c r="J7" s="1"/>
      <c r="K7" s="1"/>
      <c r="L7" s="1"/>
      <c r="M7" s="1"/>
      <c r="N7" s="1"/>
      <c r="O7" s="1"/>
      <c r="P7" s="1"/>
      <c r="Q7" s="1"/>
      <c r="R7" s="1"/>
      <c r="S7" s="1"/>
      <c r="T7" s="1"/>
      <c r="U7" s="1"/>
      <c r="V7" s="1"/>
      <c r="W7" s="1"/>
      <c r="X7" s="1"/>
      <c r="Y7" s="1"/>
      <c r="Z7" s="1"/>
      <c r="AA7" s="1"/>
      <c r="AB7" s="1"/>
      <c r="AC7" s="1"/>
    </row>
    <row r="8">
      <c r="A8" s="1"/>
      <c r="B8" s="61" t="s">
        <v>43</v>
      </c>
      <c r="C8" s="62">
        <f>Diagnosis!I31</f>
        <v>2</v>
      </c>
      <c r="D8" s="63"/>
      <c r="E8" s="64" t="s">
        <v>44</v>
      </c>
      <c r="F8" s="65">
        <f>Diagnosis!I31</f>
        <v>2</v>
      </c>
      <c r="G8" s="60"/>
      <c r="H8" s="51" t="s">
        <v>45</v>
      </c>
      <c r="I8" s="52">
        <f>Diagnosis!I31</f>
        <v>2</v>
      </c>
      <c r="J8" s="1"/>
      <c r="K8" s="1"/>
      <c r="L8" s="1"/>
      <c r="M8" s="1"/>
      <c r="N8" s="1"/>
      <c r="O8" s="1"/>
      <c r="P8" s="1"/>
      <c r="Q8" s="1"/>
      <c r="R8" s="1"/>
      <c r="S8" s="1"/>
      <c r="T8" s="1"/>
      <c r="U8" s="1"/>
      <c r="V8" s="1"/>
      <c r="W8" s="1"/>
      <c r="X8" s="1"/>
      <c r="Y8" s="1"/>
      <c r="Z8" s="1"/>
      <c r="AA8" s="1"/>
      <c r="AB8" s="1"/>
      <c r="AC8" s="1"/>
    </row>
    <row r="9">
      <c r="A9" s="1"/>
      <c r="B9" s="66"/>
      <c r="C9" s="53"/>
      <c r="D9" s="53"/>
      <c r="E9" s="53"/>
      <c r="F9" s="53"/>
      <c r="G9" s="53"/>
      <c r="H9" s="53"/>
      <c r="I9" s="53"/>
      <c r="J9" s="53"/>
      <c r="K9" s="1"/>
      <c r="L9" s="1"/>
      <c r="M9" s="1"/>
      <c r="N9" s="1"/>
      <c r="O9" s="1"/>
      <c r="P9" s="1"/>
      <c r="Q9" s="1"/>
      <c r="R9" s="1"/>
      <c r="S9" s="1"/>
      <c r="T9" s="1"/>
      <c r="U9" s="1"/>
      <c r="V9" s="1"/>
      <c r="W9" s="1"/>
      <c r="X9" s="1"/>
      <c r="Y9" s="1"/>
      <c r="Z9" s="1"/>
      <c r="AA9" s="1"/>
      <c r="AB9" s="1"/>
      <c r="AC9" s="1"/>
    </row>
    <row r="10">
      <c r="A10" s="1"/>
      <c r="B10" s="66"/>
      <c r="C10" s="53"/>
      <c r="D10" s="53"/>
      <c r="E10" s="53"/>
      <c r="F10" s="53"/>
      <c r="G10" s="53"/>
      <c r="H10" s="53"/>
      <c r="I10" s="53"/>
      <c r="J10" s="53"/>
      <c r="K10" s="1"/>
      <c r="L10" s="1"/>
      <c r="M10" s="1"/>
      <c r="N10" s="1"/>
      <c r="O10" s="1"/>
      <c r="P10" s="1"/>
      <c r="Q10" s="1"/>
      <c r="R10" s="1"/>
      <c r="S10" s="1"/>
      <c r="T10" s="1"/>
      <c r="U10" s="1"/>
      <c r="V10" s="1"/>
      <c r="W10" s="1"/>
      <c r="X10" s="1"/>
      <c r="Y10" s="1"/>
      <c r="Z10" s="1"/>
      <c r="AA10" s="1"/>
      <c r="AB10" s="1"/>
      <c r="AC10" s="1"/>
    </row>
    <row r="11">
      <c r="A11" s="1"/>
      <c r="B11" s="66"/>
      <c r="C11" s="67"/>
      <c r="D11" s="67"/>
      <c r="E11" s="67"/>
      <c r="F11" s="67"/>
      <c r="G11" s="67"/>
      <c r="H11" s="67"/>
      <c r="I11" s="67"/>
      <c r="J11" s="67"/>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68"/>
      <c r="C13" s="44"/>
      <c r="D13" s="44"/>
      <c r="E13" s="45"/>
      <c r="F13" s="45"/>
      <c r="G13" s="1"/>
      <c r="H13" s="1"/>
      <c r="I13" s="1"/>
      <c r="J13" s="1"/>
      <c r="K13" s="1"/>
      <c r="L13" s="1"/>
      <c r="M13" s="1"/>
      <c r="N13" s="1"/>
      <c r="O13" s="1"/>
      <c r="P13" s="1"/>
      <c r="Q13" s="1"/>
      <c r="R13" s="1"/>
      <c r="S13" s="1"/>
      <c r="T13" s="1"/>
      <c r="U13" s="1"/>
      <c r="V13" s="1"/>
      <c r="W13" s="1"/>
      <c r="X13" s="1"/>
      <c r="Y13" s="1"/>
      <c r="Z13" s="1"/>
      <c r="AA13" s="1"/>
      <c r="AB13" s="1"/>
      <c r="AC13" s="1"/>
    </row>
    <row r="14">
      <c r="A14" s="1"/>
      <c r="B14" s="66"/>
      <c r="C14" s="53"/>
      <c r="D14" s="53"/>
      <c r="E14" s="53"/>
      <c r="F14" s="53"/>
      <c r="G14" s="53"/>
      <c r="H14" s="53"/>
      <c r="I14" s="53"/>
      <c r="J14" s="53"/>
      <c r="K14" s="1"/>
      <c r="L14" s="1"/>
      <c r="M14" s="1"/>
      <c r="N14" s="1"/>
      <c r="O14" s="1"/>
      <c r="P14" s="1"/>
      <c r="Q14" s="1"/>
      <c r="R14" s="1"/>
      <c r="S14" s="1"/>
      <c r="T14" s="1"/>
      <c r="U14" s="1"/>
      <c r="V14" s="1"/>
      <c r="W14" s="1"/>
      <c r="X14" s="1"/>
      <c r="Y14" s="1"/>
      <c r="Z14" s="1"/>
      <c r="AA14" s="1"/>
      <c r="AB14" s="1"/>
      <c r="AC14" s="1"/>
    </row>
    <row r="15">
      <c r="A15" s="1"/>
      <c r="B15" s="66"/>
      <c r="C15" s="69"/>
      <c r="D15" s="69"/>
      <c r="E15" s="69"/>
      <c r="F15" s="69"/>
      <c r="G15" s="69"/>
      <c r="H15" s="69"/>
      <c r="I15" s="69"/>
      <c r="J15" s="69"/>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70"/>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71"/>
      <c r="C20" s="45"/>
      <c r="D20" s="45"/>
      <c r="E20" s="72"/>
      <c r="F20" s="72"/>
      <c r="G20" s="1"/>
      <c r="H20" s="1"/>
      <c r="I20" s="1"/>
      <c r="J20" s="1"/>
      <c r="K20" s="1"/>
      <c r="L20" s="1"/>
      <c r="M20" s="1"/>
      <c r="N20" s="1"/>
      <c r="O20" s="1"/>
      <c r="P20" s="1"/>
      <c r="Q20" s="1"/>
      <c r="R20" s="1"/>
      <c r="S20" s="1"/>
      <c r="T20" s="1"/>
      <c r="U20" s="1"/>
      <c r="V20" s="1"/>
      <c r="W20" s="1"/>
      <c r="X20" s="1"/>
      <c r="Y20" s="1"/>
      <c r="Z20" s="1"/>
      <c r="AA20" s="1"/>
      <c r="AB20" s="1"/>
      <c r="AC20" s="1"/>
    </row>
    <row r="21">
      <c r="A21" s="1"/>
      <c r="B21" s="71"/>
      <c r="C21" s="45"/>
      <c r="D21" s="45"/>
      <c r="E21" s="72"/>
      <c r="F21" s="72"/>
      <c r="G21" s="1"/>
      <c r="H21" s="1"/>
      <c r="I21" s="1"/>
      <c r="J21" s="1"/>
      <c r="K21" s="1"/>
      <c r="L21" s="1"/>
      <c r="M21" s="1"/>
      <c r="N21" s="1"/>
      <c r="O21" s="1"/>
      <c r="P21" s="1"/>
      <c r="Q21" s="1"/>
      <c r="R21" s="1"/>
      <c r="S21" s="1"/>
      <c r="T21" s="1"/>
      <c r="U21" s="1"/>
      <c r="V21" s="1"/>
      <c r="W21" s="1"/>
      <c r="X21" s="1"/>
      <c r="Y21" s="1"/>
      <c r="Z21" s="1"/>
      <c r="AA21" s="1"/>
      <c r="AB21" s="1"/>
      <c r="AC21" s="1"/>
    </row>
    <row r="22">
      <c r="A22" s="1"/>
      <c r="B22" s="71"/>
      <c r="C22" s="45"/>
      <c r="D22" s="45"/>
      <c r="E22" s="72"/>
      <c r="F22" s="72"/>
      <c r="G22" s="1"/>
      <c r="H22" s="1"/>
      <c r="I22" s="1"/>
      <c r="J22" s="1"/>
      <c r="K22" s="1"/>
      <c r="L22" s="1"/>
      <c r="M22" s="1"/>
      <c r="N22" s="1"/>
      <c r="O22" s="1"/>
      <c r="P22" s="1"/>
      <c r="Q22" s="1"/>
      <c r="R22" s="1"/>
      <c r="S22" s="1"/>
      <c r="T22" s="1"/>
      <c r="U22" s="1"/>
      <c r="V22" s="1"/>
      <c r="W22" s="1"/>
      <c r="X22" s="1"/>
      <c r="Y22" s="1"/>
      <c r="Z22" s="1"/>
      <c r="AA22" s="1"/>
      <c r="AB22" s="1"/>
      <c r="AC22" s="1"/>
    </row>
    <row r="23">
      <c r="A23" s="1"/>
      <c r="B23" s="71"/>
      <c r="C23" s="45"/>
      <c r="D23" s="45"/>
      <c r="E23" s="72"/>
      <c r="F23" s="72"/>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73"/>
      <c r="F24" s="73"/>
      <c r="G24" s="1"/>
      <c r="H24" s="1"/>
      <c r="I24" s="1"/>
      <c r="J24" s="1"/>
      <c r="K24" s="1"/>
      <c r="L24" s="1"/>
      <c r="M24" s="1"/>
      <c r="N24" s="1"/>
      <c r="O24" s="1"/>
      <c r="P24" s="1"/>
      <c r="Q24" s="1"/>
      <c r="R24" s="1"/>
      <c r="S24" s="1"/>
      <c r="T24" s="1"/>
      <c r="U24" s="1"/>
      <c r="V24" s="1"/>
      <c r="W24" s="1"/>
      <c r="X24" s="1"/>
      <c r="Y24" s="1"/>
      <c r="Z24" s="1"/>
      <c r="AA24" s="1"/>
      <c r="AB24" s="1"/>
      <c r="AC24" s="1"/>
    </row>
    <row r="25">
      <c r="A25" s="1"/>
      <c r="B25" s="70"/>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71"/>
      <c r="C26" s="45"/>
      <c r="D26" s="45"/>
      <c r="E26" s="72"/>
      <c r="F26" s="72"/>
      <c r="G26" s="1"/>
      <c r="H26" s="1"/>
      <c r="I26" s="1"/>
      <c r="J26" s="1"/>
      <c r="K26" s="1"/>
      <c r="L26" s="1"/>
      <c r="M26" s="1"/>
      <c r="N26" s="1"/>
      <c r="O26" s="1"/>
      <c r="P26" s="1"/>
      <c r="Q26" s="1"/>
      <c r="R26" s="1"/>
      <c r="S26" s="1"/>
      <c r="T26" s="1"/>
      <c r="U26" s="1"/>
      <c r="V26" s="1"/>
      <c r="W26" s="1"/>
      <c r="X26" s="1"/>
      <c r="Y26" s="1"/>
      <c r="Z26" s="1"/>
      <c r="AA26" s="1"/>
      <c r="AB26" s="1"/>
      <c r="AC26" s="1"/>
    </row>
    <row r="27">
      <c r="A27" s="1"/>
      <c r="B27" s="71"/>
      <c r="C27" s="45"/>
      <c r="D27" s="45"/>
      <c r="E27" s="72"/>
      <c r="F27" s="72"/>
      <c r="G27" s="1"/>
      <c r="H27" s="1"/>
      <c r="I27" s="1"/>
      <c r="J27" s="1"/>
      <c r="K27" s="1"/>
      <c r="L27" s="1"/>
      <c r="M27" s="1"/>
      <c r="N27" s="1"/>
      <c r="O27" s="1"/>
      <c r="P27" s="1"/>
      <c r="Q27" s="1"/>
      <c r="R27" s="1"/>
      <c r="S27" s="1"/>
      <c r="T27" s="1"/>
      <c r="U27" s="1"/>
      <c r="V27" s="1"/>
      <c r="W27" s="1"/>
      <c r="X27" s="1"/>
      <c r="Y27" s="1"/>
      <c r="Z27" s="1"/>
      <c r="AA27" s="1"/>
      <c r="AB27" s="1"/>
      <c r="AC27" s="1"/>
    </row>
    <row r="28">
      <c r="A28" s="1"/>
      <c r="B28" s="71"/>
      <c r="C28" s="45"/>
      <c r="D28" s="45"/>
      <c r="E28" s="72"/>
      <c r="F28" s="72"/>
      <c r="G28" s="1"/>
      <c r="H28" s="1"/>
      <c r="I28" s="1"/>
      <c r="J28" s="1"/>
      <c r="K28" s="1"/>
      <c r="L28" s="1"/>
      <c r="M28" s="1"/>
      <c r="N28" s="1"/>
      <c r="O28" s="1"/>
      <c r="P28" s="1"/>
      <c r="Q28" s="1"/>
      <c r="R28" s="1"/>
      <c r="S28" s="1"/>
      <c r="T28" s="1"/>
      <c r="U28" s="1"/>
      <c r="V28" s="1"/>
      <c r="W28" s="1"/>
      <c r="X28" s="1"/>
      <c r="Y28" s="1"/>
      <c r="Z28" s="1"/>
      <c r="AA28" s="1"/>
      <c r="AB28" s="1"/>
      <c r="AC28" s="1"/>
    </row>
    <row r="29">
      <c r="A29" s="1"/>
      <c r="B29" s="71"/>
      <c r="C29" s="45"/>
      <c r="D29" s="45"/>
      <c r="E29" s="72"/>
      <c r="F29" s="72"/>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72"/>
      <c r="F30" s="72"/>
      <c r="G30" s="1"/>
      <c r="H30" s="1"/>
      <c r="I30" s="1"/>
      <c r="J30" s="1"/>
      <c r="K30" s="1"/>
      <c r="L30" s="1"/>
      <c r="M30" s="1"/>
      <c r="N30" s="1"/>
      <c r="O30" s="1"/>
      <c r="P30" s="1"/>
      <c r="Q30" s="1"/>
      <c r="R30" s="1"/>
      <c r="S30" s="1"/>
      <c r="T30" s="1"/>
      <c r="U30" s="1"/>
      <c r="V30" s="1"/>
      <c r="W30" s="1"/>
      <c r="X30" s="1"/>
      <c r="Y30" s="1"/>
      <c r="Z30" s="1"/>
      <c r="AA30" s="1"/>
      <c r="AB30" s="1"/>
      <c r="AC30" s="1"/>
    </row>
    <row r="31">
      <c r="A31" s="1"/>
      <c r="B31" s="70"/>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71"/>
      <c r="C32" s="45"/>
      <c r="D32" s="45"/>
      <c r="E32" s="45"/>
      <c r="F32" s="45"/>
      <c r="G32" s="1"/>
      <c r="H32" s="1"/>
      <c r="I32" s="1"/>
      <c r="J32" s="1"/>
      <c r="K32" s="1"/>
      <c r="L32" s="1"/>
      <c r="M32" s="1"/>
      <c r="N32" s="1"/>
      <c r="O32" s="1"/>
      <c r="P32" s="1"/>
      <c r="Q32" s="1"/>
      <c r="R32" s="1"/>
      <c r="S32" s="1"/>
      <c r="T32" s="1"/>
      <c r="U32" s="1"/>
      <c r="V32" s="1"/>
      <c r="W32" s="1"/>
      <c r="X32" s="1"/>
      <c r="Y32" s="1"/>
      <c r="Z32" s="1"/>
      <c r="AA32" s="1"/>
      <c r="AB32" s="1"/>
      <c r="AC32" s="1"/>
    </row>
    <row r="33">
      <c r="A33" s="1"/>
      <c r="B33" s="71"/>
      <c r="C33" s="45"/>
      <c r="D33" s="45"/>
      <c r="E33" s="45"/>
      <c r="F33" s="45"/>
      <c r="G33" s="1"/>
      <c r="H33" s="1"/>
      <c r="I33" s="1"/>
      <c r="J33" s="1"/>
      <c r="K33" s="1"/>
      <c r="L33" s="1"/>
      <c r="M33" s="1"/>
      <c r="N33" s="1"/>
      <c r="O33" s="1"/>
      <c r="P33" s="1"/>
      <c r="Q33" s="1"/>
      <c r="R33" s="1"/>
      <c r="S33" s="1"/>
      <c r="T33" s="1"/>
      <c r="U33" s="1"/>
      <c r="V33" s="1"/>
      <c r="W33" s="1"/>
      <c r="X33" s="1"/>
      <c r="Y33" s="1"/>
      <c r="Z33" s="1"/>
      <c r="AA33" s="1"/>
      <c r="AB33" s="1"/>
      <c r="AC33" s="1"/>
    </row>
    <row r="34">
      <c r="A34" s="1"/>
      <c r="B34" s="71"/>
      <c r="C34" s="45"/>
      <c r="D34" s="45"/>
      <c r="E34" s="45"/>
      <c r="F34" s="45"/>
      <c r="G34" s="1"/>
      <c r="H34" s="1"/>
      <c r="I34" s="1"/>
      <c r="J34" s="1"/>
      <c r="K34" s="1"/>
      <c r="L34" s="1"/>
      <c r="M34" s="1"/>
      <c r="N34" s="1"/>
      <c r="O34" s="1"/>
      <c r="P34" s="1"/>
      <c r="Q34" s="1"/>
      <c r="R34" s="1"/>
      <c r="S34" s="1"/>
      <c r="T34" s="1"/>
      <c r="U34" s="1"/>
      <c r="V34" s="1"/>
      <c r="W34" s="1"/>
      <c r="X34" s="1"/>
      <c r="Y34" s="1"/>
      <c r="Z34" s="1"/>
      <c r="AA34" s="1"/>
      <c r="AB34" s="1"/>
      <c r="AC34" s="1"/>
    </row>
    <row r="35">
      <c r="A35" s="1"/>
      <c r="B35" s="71"/>
      <c r="C35" s="45"/>
      <c r="D35" s="45"/>
      <c r="E35" s="45"/>
      <c r="F35" s="45"/>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70"/>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71"/>
      <c r="C38" s="45"/>
      <c r="D38" s="45"/>
      <c r="E38" s="72"/>
      <c r="F38" s="72"/>
      <c r="G38" s="1"/>
      <c r="H38" s="1"/>
      <c r="I38" s="1"/>
      <c r="J38" s="1"/>
      <c r="K38" s="1"/>
      <c r="L38" s="1"/>
      <c r="M38" s="1"/>
      <c r="N38" s="1"/>
      <c r="O38" s="1"/>
      <c r="P38" s="1"/>
      <c r="Q38" s="1"/>
      <c r="R38" s="1"/>
      <c r="S38" s="1"/>
      <c r="T38" s="1"/>
      <c r="U38" s="1"/>
      <c r="V38" s="1"/>
      <c r="W38" s="1"/>
      <c r="X38" s="1"/>
      <c r="Y38" s="1"/>
      <c r="Z38" s="1"/>
      <c r="AA38" s="1"/>
      <c r="AB38" s="1"/>
      <c r="AC38" s="1"/>
    </row>
    <row r="39">
      <c r="A39" s="1"/>
      <c r="B39" s="71"/>
      <c r="C39" s="45"/>
      <c r="D39" s="45"/>
      <c r="E39" s="72"/>
      <c r="F39" s="72"/>
      <c r="G39" s="1"/>
      <c r="H39" s="1"/>
      <c r="I39" s="1"/>
      <c r="J39" s="1"/>
      <c r="K39" s="1"/>
      <c r="L39" s="1"/>
      <c r="M39" s="1"/>
      <c r="N39" s="1"/>
      <c r="O39" s="1"/>
      <c r="P39" s="1"/>
      <c r="Q39" s="1"/>
      <c r="R39" s="1"/>
      <c r="S39" s="1"/>
      <c r="T39" s="1"/>
      <c r="U39" s="1"/>
      <c r="V39" s="1"/>
      <c r="W39" s="1"/>
      <c r="X39" s="1"/>
      <c r="Y39" s="1"/>
      <c r="Z39" s="1"/>
      <c r="AA39" s="1"/>
      <c r="AB39" s="1"/>
      <c r="AC39" s="1"/>
    </row>
    <row r="40">
      <c r="A40" s="1"/>
      <c r="B40" s="71"/>
      <c r="C40" s="45"/>
      <c r="D40" s="45"/>
      <c r="E40" s="72"/>
      <c r="F40" s="72"/>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sheetData>
  <mergeCells count="3">
    <mergeCell ref="B2:C2"/>
    <mergeCell ref="E2:F2"/>
    <mergeCell ref="H2:I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0"/>
    <col customWidth="1" min="9" max="9" width="24.0"/>
    <col customWidth="1" min="10" max="10" width="35.63"/>
    <col customWidth="1" min="11" max="11" width="16.63"/>
  </cols>
  <sheetData>
    <row r="1">
      <c r="I1" s="1"/>
      <c r="J1" s="1"/>
      <c r="K1" s="1"/>
      <c r="L1" s="1"/>
      <c r="M1" s="1"/>
    </row>
    <row r="2">
      <c r="I2" s="74" t="s">
        <v>46</v>
      </c>
      <c r="J2" s="75" t="s">
        <v>47</v>
      </c>
      <c r="K2" s="76" t="s">
        <v>48</v>
      </c>
      <c r="L2" s="1"/>
      <c r="M2" s="1"/>
    </row>
    <row r="3" ht="17.25" customHeight="1">
      <c r="H3" s="77">
        <v>1.0</v>
      </c>
      <c r="I3" s="11" t="s">
        <v>49</v>
      </c>
      <c r="J3" s="78"/>
      <c r="K3" s="79">
        <f>Diagnosis!B10+90</f>
        <v>45293</v>
      </c>
      <c r="L3" s="1"/>
      <c r="M3" s="1"/>
    </row>
    <row r="4" ht="15.75" customHeight="1">
      <c r="J4" s="78"/>
      <c r="K4" s="79">
        <f>Diagnosis!B10+90</f>
        <v>45293</v>
      </c>
      <c r="L4" s="1"/>
      <c r="M4" s="1"/>
    </row>
    <row r="5" ht="18.0" customHeight="1">
      <c r="J5" s="78"/>
      <c r="K5" s="79">
        <f>Diagnosis!B10+90</f>
        <v>45293</v>
      </c>
      <c r="L5" s="1"/>
      <c r="M5" s="1"/>
    </row>
    <row r="6">
      <c r="H6" s="77">
        <v>2.0</v>
      </c>
      <c r="I6" s="11" t="s">
        <v>49</v>
      </c>
      <c r="J6" s="80"/>
      <c r="K6" s="79">
        <f>Diagnosis!B10+90</f>
        <v>45293</v>
      </c>
      <c r="L6" s="1"/>
      <c r="M6" s="1"/>
    </row>
    <row r="7">
      <c r="J7" s="80"/>
      <c r="K7" s="79">
        <f>Diagnosis!B10+90</f>
        <v>45293</v>
      </c>
      <c r="L7" s="1"/>
      <c r="M7" s="1"/>
    </row>
    <row r="8">
      <c r="J8" s="80"/>
      <c r="K8" s="79">
        <f>Diagnosis!B10+90</f>
        <v>45293</v>
      </c>
      <c r="L8" s="1"/>
      <c r="M8" s="1"/>
    </row>
    <row r="9">
      <c r="H9" s="77">
        <v>3.0</v>
      </c>
      <c r="I9" s="11" t="s">
        <v>49</v>
      </c>
      <c r="J9" s="80"/>
      <c r="K9" s="79">
        <f>Diagnosis!B10+90</f>
        <v>45293</v>
      </c>
      <c r="L9" s="1"/>
      <c r="M9" s="1"/>
    </row>
    <row r="10">
      <c r="J10" s="80"/>
      <c r="K10" s="79">
        <f>Diagnosis!B10+90</f>
        <v>45293</v>
      </c>
      <c r="L10" s="1"/>
      <c r="M10" s="1"/>
    </row>
    <row r="11">
      <c r="J11" s="80"/>
      <c r="K11" s="79">
        <f>Diagnosis!B10+90</f>
        <v>45293</v>
      </c>
      <c r="L11" s="1"/>
      <c r="M11" s="1"/>
    </row>
    <row r="12">
      <c r="I12" s="1"/>
      <c r="J12" s="1"/>
      <c r="K12" s="1"/>
      <c r="L12" s="1"/>
      <c r="M12" s="1"/>
    </row>
    <row r="13">
      <c r="I13" s="1"/>
      <c r="J13" s="1"/>
      <c r="K13" s="1"/>
      <c r="L13" s="1"/>
      <c r="M13" s="1"/>
    </row>
    <row r="14">
      <c r="I14" s="1"/>
      <c r="J14" s="1"/>
      <c r="K14" s="1"/>
      <c r="L14" s="1"/>
      <c r="M14" s="1"/>
    </row>
    <row r="15">
      <c r="I15" s="1"/>
      <c r="J15" s="1"/>
      <c r="K15" s="1"/>
      <c r="L15" s="1"/>
      <c r="M15" s="1"/>
    </row>
    <row r="16">
      <c r="I16" s="1"/>
      <c r="J16" s="1"/>
      <c r="K16" s="1"/>
      <c r="L16" s="1"/>
      <c r="M16" s="1"/>
    </row>
    <row r="17">
      <c r="I17" s="1"/>
      <c r="J17" s="1"/>
      <c r="K17" s="1"/>
      <c r="L17" s="1"/>
      <c r="M17" s="1"/>
    </row>
    <row r="18">
      <c r="I18" s="1"/>
      <c r="J18" s="1"/>
      <c r="K18" s="1"/>
      <c r="L18" s="1"/>
      <c r="M18" s="1"/>
    </row>
    <row r="19">
      <c r="I19" s="1"/>
      <c r="J19" s="1"/>
      <c r="K19" s="1"/>
      <c r="L19" s="1"/>
      <c r="M19" s="1"/>
    </row>
  </sheetData>
  <mergeCells count="6">
    <mergeCell ref="H3:H5"/>
    <mergeCell ref="I3:I5"/>
    <mergeCell ref="H6:H8"/>
    <mergeCell ref="I6:I8"/>
    <mergeCell ref="H9:H11"/>
    <mergeCell ref="I9:I11"/>
  </mergeCells>
  <dataValidations>
    <dataValidation type="list" allowBlank="1" showErrorMessage="1" sqref="I3 I6 I9">
      <formula1>"SELECT AREA,Clear mission,Invitation to participate,Easy onboarding,Modular approach,Strong leadership,Ways of working open,Backchannels &amp; watercoolers,Celebration of milestones"</formula1>
    </dataValidation>
  </dataValidations>
  <drawing r:id="rId1"/>
</worksheet>
</file>